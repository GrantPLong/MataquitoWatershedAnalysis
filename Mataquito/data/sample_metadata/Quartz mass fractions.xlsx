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MataquitoWatershedAnalysis/Mataquito/data/sample_metadata/"/>
    </mc:Choice>
  </mc:AlternateContent>
  <xr:revisionPtr revIDLastSave="0" documentId="8_{0F60479A-C63E-8C48-9832-304917FD44DD}" xr6:coauthVersionLast="47" xr6:coauthVersionMax="47" xr10:uidLastSave="{00000000-0000-0000-0000-000000000000}"/>
  <bookViews>
    <workbookView xWindow="0" yWindow="600" windowWidth="38400" windowHeight="21800" xr2:uid="{00000000-000D-0000-FFFF-FFFF00000000}"/>
  </bookViews>
  <sheets>
    <sheet name="Quartz mass frac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G9" i="3"/>
  <c r="G8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<sst xmlns="http://schemas.openxmlformats.org/spreadsheetml/2006/main" count="28" uniqueCount="20">
  <si>
    <t>Sample ID</t>
  </si>
  <si>
    <t>Clean Quartz unused</t>
  </si>
  <si>
    <t>Quartz used for 10Be analysis</t>
  </si>
  <si>
    <t>Total sample used 250-500</t>
  </si>
  <si>
    <t>Qtz/total used sample 250-500</t>
  </si>
  <si>
    <t xml:space="preserve">Ratios of Qtz/total used </t>
  </si>
  <si>
    <t>Ratio used</t>
  </si>
  <si>
    <t>CT-1</t>
  </si>
  <si>
    <t>CT-2</t>
  </si>
  <si>
    <t>-</t>
  </si>
  <si>
    <t>3/8.2</t>
  </si>
  <si>
    <t>CT-3</t>
  </si>
  <si>
    <t>CT-4</t>
  </si>
  <si>
    <t>CT-5</t>
  </si>
  <si>
    <t>CT-6</t>
  </si>
  <si>
    <t>CT-7</t>
  </si>
  <si>
    <t>CT-8.2</t>
  </si>
  <si>
    <t>CT-9</t>
  </si>
  <si>
    <t>CT-10</t>
  </si>
  <si>
    <t>CT-11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</si>
</sst>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0"/>
    <numFmt numFmtId="166" formatCode="m/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3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3">
    <tableStyle name="Weights-style" pivot="0" count="2" xr9:uid="{00000000-0011-0000-FFFF-FFFF00000000}">
      <tableStyleElement type="firstRowStripe" dxfId="30"/>
      <tableStyleElement type="secondRowStripe" dxfId="29"/>
    </tableStyle>
    <tableStyle name="Production Rates-style" pivot="0" count="2" xr9:uid="{00000000-0011-0000-FFFF-FFFF01000000}">
      <tableStyleElement type="firstRowStripe" dxfId="28"/>
      <tableStyleElement type="secondRowStripe" dxfId="27"/>
    </tableStyle>
    <tableStyle name="Process Completion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Process Completion-style 2" pivot="0" count="2" xr9:uid="{00000000-0011-0000-FFFF-FFFF03000000}">
      <tableStyleElement type="firstRowStripe" dxfId="23"/>
      <tableStyleElement type="secondRowStripe" dxfId="22"/>
    </tableStyle>
    <tableStyle name="BeSamplesDataSept25Run-style" pivot="0" count="2" xr9:uid="{00000000-0011-0000-FFFF-FFFF04000000}">
      <tableStyleElement type="firstRowStripe" dxfId="21"/>
      <tableStyleElement type="secondRowStripe" dxfId="20"/>
    </tableStyle>
    <tableStyle name="BeSamplesDataAll2024-style" pivot="0" count="2" xr9:uid="{00000000-0011-0000-FFFF-FFFF05000000}">
      <tableStyleElement type="firstRowStripe" dxfId="19"/>
      <tableStyleElement type="secondRowStripe" dxfId="18"/>
    </tableStyle>
    <tableStyle name="CRONUS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CRONUS-style 2" pivot="0" count="2" xr9:uid="{00000000-0011-0000-FFFF-FFFF07000000}">
      <tableStyleElement type="firstRowStripe" dxfId="14"/>
      <tableStyleElement type="secondRowStripe" dxfId="13"/>
    </tableStyle>
    <tableStyle name="CRONUS-style 3" pivot="0" count="3" xr9:uid="{00000000-0011-0000-FFFF-FFFF08000000}">
      <tableStyleElement type="headerRow" dxfId="12"/>
      <tableStyleElement type="firstRowStripe" dxfId="11"/>
      <tableStyleElement type="secondRowStripe" dxfId="10"/>
    </tableStyle>
    <tableStyle name="CRONUS-style 4" pivot="0" count="2" xr9:uid="{00000000-0011-0000-FFFF-FFFF09000000}">
      <tableStyleElement type="firstRowStripe" dxfId="9"/>
      <tableStyleElement type="secondRowStripe" dxfId="8"/>
    </tableStyle>
    <tableStyle name="Be_concentrations-style" pivot="0" count="3" xr9:uid="{00000000-0011-0000-FFFF-FFFF0A000000}">
      <tableStyleElement type="headerRow" dxfId="7"/>
      <tableStyleElement type="firstRowStripe" dxfId="6"/>
      <tableStyleElement type="secondRowStripe" dxfId="5"/>
    </tableStyle>
    <tableStyle name="Strat_col-style" pivot="0" count="3" xr9:uid="{00000000-0011-0000-FFFF-FFFF0B000000}">
      <tableStyleElement type="headerRow" dxfId="4"/>
      <tableStyleElement type="firstRowStripe" dxfId="3"/>
      <tableStyleElement type="secondRowStripe" dxfId="2"/>
    </tableStyle>
    <tableStyle name="Strat_col-style 2" pivot="0" count="2" xr9:uid="{00000000-0011-0000-FFFF-FFFF0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2"/>
  <sheetViews>
    <sheetView tabSelected="1" zoomScale="190" zoomScaleNormal="190" workbookViewId="0">
      <selection activeCell="C15" sqref="C15"/>
    </sheetView>
  </sheetViews>
  <sheetFormatPr baseColWidth="10" defaultColWidth="12.6640625" defaultRowHeight="15.75" customHeight="1" x14ac:dyDescent="0.15"/>
  <cols>
    <col min="1" max="1" width="11.1640625" customWidth="1"/>
    <col min="2" max="2" width="10.6640625" customWidth="1"/>
    <col min="4" max="4" width="11.83203125" customWidth="1"/>
    <col min="5" max="5" width="14.6640625" customWidth="1"/>
  </cols>
  <sheetData>
    <row r="1" spans="1:8" ht="30" customHeight="1" x14ac:dyDescent="0.1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10"/>
      <c r="G1" s="8" t="s">
        <v>5</v>
      </c>
      <c r="H1" s="8" t="s">
        <v>6</v>
      </c>
    </row>
    <row r="2" spans="1:8" ht="15.75" customHeight="1" x14ac:dyDescent="0.15">
      <c r="A2" s="1" t="s">
        <v>7</v>
      </c>
      <c r="B2" s="1">
        <v>43</v>
      </c>
      <c r="C2" s="2">
        <v>37.202500000000001</v>
      </c>
      <c r="D2" s="2">
        <v>1146.2025000000001</v>
      </c>
      <c r="E2" s="3">
        <v>6.9972365267044867E-2</v>
      </c>
      <c r="G2" s="4">
        <f>E6/E7</f>
        <v>1.1359943256571001</v>
      </c>
      <c r="H2" s="5">
        <v>46148</v>
      </c>
    </row>
    <row r="3" spans="1:8" ht="15.75" customHeight="1" x14ac:dyDescent="0.15">
      <c r="A3" s="1" t="s">
        <v>8</v>
      </c>
      <c r="B3" s="6" t="s">
        <v>9</v>
      </c>
      <c r="C3" s="2">
        <v>36.130859999999998</v>
      </c>
      <c r="D3" s="2">
        <v>1599.7308599999999</v>
      </c>
      <c r="E3" s="3">
        <v>2.2585586677999075E-2</v>
      </c>
      <c r="G3" s="4">
        <f>E4/E9</f>
        <v>50.461027996542406</v>
      </c>
      <c r="H3" s="7" t="s">
        <v>10</v>
      </c>
    </row>
    <row r="4" spans="1:8" ht="15.75" customHeight="1" x14ac:dyDescent="0.15">
      <c r="A4" s="1" t="s">
        <v>11</v>
      </c>
      <c r="B4" s="1">
        <v>145.1</v>
      </c>
      <c r="C4" s="2">
        <v>50.50488</v>
      </c>
      <c r="D4" s="2">
        <v>1057.4048799999998</v>
      </c>
      <c r="E4" s="3">
        <v>0.18498579276464094</v>
      </c>
      <c r="G4" s="4">
        <f>E4/E12</f>
        <v>47.501129728015201</v>
      </c>
      <c r="H4" s="5">
        <v>46092</v>
      </c>
    </row>
    <row r="5" spans="1:8" ht="15.75" customHeight="1" x14ac:dyDescent="0.15">
      <c r="A5" s="1" t="s">
        <v>12</v>
      </c>
      <c r="B5" s="6" t="s">
        <v>9</v>
      </c>
      <c r="C5" s="2">
        <v>35.28481</v>
      </c>
      <c r="D5" s="2">
        <v>1447.2848100000001</v>
      </c>
      <c r="E5" s="3">
        <v>2.438000437522729E-2</v>
      </c>
      <c r="G5" s="4">
        <f>E4/E11</f>
        <v>56.193511255341861</v>
      </c>
      <c r="H5" s="5">
        <v>46091</v>
      </c>
    </row>
    <row r="6" spans="1:8" ht="15.75" customHeight="1" x14ac:dyDescent="0.15">
      <c r="A6" s="1" t="s">
        <v>13</v>
      </c>
      <c r="B6" s="6" t="s">
        <v>9</v>
      </c>
      <c r="C6" s="2">
        <v>17.613589999999999</v>
      </c>
      <c r="D6" s="2">
        <v>1210.2135899999998</v>
      </c>
      <c r="E6" s="3">
        <v>1.4554116848084643E-2</v>
      </c>
      <c r="G6" s="4">
        <f>E4/E5</f>
        <v>7.5876029354861982</v>
      </c>
      <c r="H6" s="5">
        <v>46085</v>
      </c>
    </row>
    <row r="7" spans="1:8" ht="15.75" customHeight="1" x14ac:dyDescent="0.15">
      <c r="A7" s="1" t="s">
        <v>14</v>
      </c>
      <c r="B7" s="6" t="s">
        <v>9</v>
      </c>
      <c r="C7" s="2">
        <v>17.24784</v>
      </c>
      <c r="D7" s="2">
        <v>1346.24784</v>
      </c>
      <c r="E7" s="3">
        <v>1.2811786572671492E-2</v>
      </c>
      <c r="G7" s="4"/>
    </row>
    <row r="8" spans="1:8" ht="15.75" customHeight="1" x14ac:dyDescent="0.15">
      <c r="A8" s="1" t="s">
        <v>15</v>
      </c>
      <c r="B8" s="6" t="s">
        <v>9</v>
      </c>
      <c r="C8" s="2">
        <v>6.4854099999999999</v>
      </c>
      <c r="D8" s="2">
        <v>1136.1854100000003</v>
      </c>
      <c r="E8" s="3">
        <v>5.7080560469439561E-3</v>
      </c>
      <c r="G8" s="4">
        <f>E4/E7</f>
        <v>14.438719511549591</v>
      </c>
      <c r="H8" s="5">
        <v>46087</v>
      </c>
    </row>
    <row r="9" spans="1:8" ht="15.75" customHeight="1" x14ac:dyDescent="0.15">
      <c r="A9" s="1" t="s">
        <v>16</v>
      </c>
      <c r="B9" s="6" t="s">
        <v>9</v>
      </c>
      <c r="C9" s="2">
        <v>9.4085999999999999</v>
      </c>
      <c r="D9" s="2">
        <v>2566.5086000000006</v>
      </c>
      <c r="E9" s="3">
        <v>3.665914074864194E-3</v>
      </c>
      <c r="G9" s="4">
        <f>E4/E6</f>
        <v>12.710203902821181</v>
      </c>
      <c r="H9" s="5">
        <v>46086</v>
      </c>
    </row>
    <row r="10" spans="1:8" ht="15.75" customHeight="1" x14ac:dyDescent="0.15">
      <c r="A10" s="1" t="s">
        <v>17</v>
      </c>
      <c r="B10" s="6" t="s">
        <v>9</v>
      </c>
      <c r="C10" s="2">
        <v>23.845870000000001</v>
      </c>
      <c r="D10" s="2">
        <v>4147.3458700000001</v>
      </c>
      <c r="E10" s="3">
        <v>5.7496699690493865E-3</v>
      </c>
      <c r="G10" s="4"/>
    </row>
    <row r="11" spans="1:8" ht="15.75" customHeight="1" x14ac:dyDescent="0.15">
      <c r="A11" s="1" t="s">
        <v>18</v>
      </c>
      <c r="B11" s="6" t="s">
        <v>9</v>
      </c>
      <c r="C11" s="2">
        <v>10.72424</v>
      </c>
      <c r="D11" s="2">
        <v>3257.72424</v>
      </c>
      <c r="E11" s="3">
        <v>3.2919422301993248E-3</v>
      </c>
      <c r="G11" s="4">
        <f>E4/E10</f>
        <v>32.173288860130057</v>
      </c>
      <c r="H11" s="5">
        <v>46090</v>
      </c>
    </row>
    <row r="12" spans="1:8" ht="15.75" customHeight="1" x14ac:dyDescent="0.15">
      <c r="A12" s="1" t="s">
        <v>19</v>
      </c>
      <c r="B12" s="6" t="s">
        <v>9</v>
      </c>
      <c r="C12" s="2">
        <v>9.5632000000000001</v>
      </c>
      <c r="D12" s="2">
        <v>2455.6632</v>
      </c>
      <c r="E12" s="3">
        <v>3.8943451202917406E-3</v>
      </c>
      <c r="G12" s="4">
        <f>E4/E3</f>
        <v>8.1904355818588552</v>
      </c>
      <c r="H12" s="5">
        <v>46083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Quartz mass fractions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Long</cp:lastModifiedBy>
  <dcterms:created xsi:type="dcterms:W3CDTF">2026-10-26T15:49:35Z</dcterms:created>
  <dcterms:modified xsi:type="dcterms:W3CDTF">2026-10-26T15:49:35Z</dcterms:modified>
</cp:coreProperties>
</file>